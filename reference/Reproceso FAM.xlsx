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soria\Downloads\"/>
    </mc:Choice>
  </mc:AlternateContent>
  <xr:revisionPtr revIDLastSave="0" documentId="8_{FADA1F3A-AC8E-42D6-BFB9-806DBE4206F7}" xr6:coauthVersionLast="47" xr6:coauthVersionMax="47" xr10:uidLastSave="{00000000-0000-0000-0000-000000000000}"/>
  <bookViews>
    <workbookView xWindow="-110" yWindow="-110" windowWidth="19420" windowHeight="10300" xr2:uid="{1321D480-ED61-4D9B-9B72-324BDA9BB215}"/>
  </bookViews>
  <sheets>
    <sheet name="Depreciation a)" sheetId="1" r:id="rId1"/>
    <sheet name="Depreciation b)" sheetId="2" r:id="rId2"/>
    <sheet name="A excluir para el 003" sheetId="3" r:id="rId3"/>
  </sheets>
  <externalReferences>
    <externalReference r:id="rId4"/>
  </externalReferences>
  <definedNames>
    <definedName name="_xlnm._FilterDatabase" localSheetId="0" hidden="1">'Depreciation a)'!$A$2:$V$3</definedName>
    <definedName name="_xlnm._FilterDatabase" localSheetId="1" hidden="1">'Depreciation b)'!$A$2:$S$10</definedName>
    <definedName name="ID" localSheetId="0" hidden="1">"3f6528a0-2300-4389-b847-083452d6ff9c"</definedName>
    <definedName name="ID" localSheetId="1" hidden="1">"3f6528a0-2300-4389-b847-083452d6ff9c"</definedName>
    <definedName name="Report_Version_4">"A1"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3" i="1" l="1"/>
  <c r="Q10" i="2"/>
  <c r="R10" i="2" s="1"/>
  <c r="R9" i="2"/>
  <c r="Q9" i="2"/>
  <c r="Q8" i="2"/>
  <c r="R8" i="2" s="1"/>
  <c r="R7" i="2"/>
  <c r="Q7" i="2"/>
  <c r="Q6" i="2"/>
  <c r="R6" i="2" s="1"/>
  <c r="Q5" i="2"/>
  <c r="R5" i="2" s="1"/>
  <c r="Q4" i="2"/>
  <c r="R4" i="2" s="1"/>
  <c r="Q3" i="2"/>
  <c r="R3" i="2" s="1"/>
  <c r="S3" i="1"/>
  <c r="T3" i="1" s="1"/>
  <c r="R3" i="1"/>
  <c r="Q3" i="1"/>
  <c r="V3" i="1" l="1"/>
</calcChain>
</file>

<file path=xl/sharedStrings.xml><?xml version="1.0" encoding="utf-8"?>
<sst xmlns="http://schemas.openxmlformats.org/spreadsheetml/2006/main" count="125" uniqueCount="55">
  <si>
    <t>Imobilizado</t>
  </si>
  <si>
    <t>Sbnº</t>
  </si>
  <si>
    <t>Nº inventário</t>
  </si>
  <si>
    <t>Denominação do imobilizado</t>
  </si>
  <si>
    <t>Dt.incorp.</t>
  </si>
  <si>
    <t xml:space="preserve">      ValAquis.</t>
  </si>
  <si>
    <t xml:space="preserve"> Depreciação ac.</t>
  </si>
  <si>
    <t xml:space="preserve"> Valor contábil</t>
  </si>
  <si>
    <t>Classe</t>
  </si>
  <si>
    <t>Descrição - Classe</t>
  </si>
  <si>
    <t>Classificação</t>
  </si>
  <si>
    <t>Sala</t>
  </si>
  <si>
    <t>Ord.custos</t>
  </si>
  <si>
    <t>Empr</t>
  </si>
  <si>
    <t>Depr.norm.</t>
  </si>
  <si>
    <t>Moeda</t>
  </si>
  <si>
    <t>Useful life</t>
  </si>
  <si>
    <t>Month closing depreciation</t>
  </si>
  <si>
    <t>Months</t>
  </si>
  <si>
    <t>Depreciation recalculation</t>
  </si>
  <si>
    <t>Difference</t>
  </si>
  <si>
    <t>N/A</t>
  </si>
  <si>
    <t>Renault WI-FI</t>
  </si>
  <si>
    <t>L001</t>
  </si>
  <si>
    <t>Máquinas e Equipamentos</t>
  </si>
  <si>
    <t>FY25-074</t>
  </si>
  <si>
    <t>0034</t>
  </si>
  <si>
    <t>BRL</t>
  </si>
  <si>
    <t>Top 3</t>
  </si>
  <si>
    <t>Armário A5.11/1,40 alt Copro grafite e frente azul</t>
  </si>
  <si>
    <t>L028</t>
  </si>
  <si>
    <t>Laboratório</t>
  </si>
  <si>
    <t>LOGINV340017</t>
  </si>
  <si>
    <t xml:space="preserve">To check - Still net value </t>
  </si>
  <si>
    <t>MESA DE MADEIRA C/2 PRATELEIRAS</t>
  </si>
  <si>
    <t>003572L</t>
  </si>
  <si>
    <t>TV Samsung 46”</t>
  </si>
  <si>
    <t>IT3INF340009</t>
  </si>
  <si>
    <t>Cisco Unified SIP Phone3905 Charcoal Stand Handset</t>
  </si>
  <si>
    <t>FY22-006</t>
  </si>
  <si>
    <t>0030</t>
  </si>
  <si>
    <t>Unified (UTM) Protection</t>
  </si>
  <si>
    <t>L023</t>
  </si>
  <si>
    <t>Software Customizáveis</t>
  </si>
  <si>
    <t>Intangível</t>
  </si>
  <si>
    <t>FY22-034</t>
  </si>
  <si>
    <t>Unified Threat Protection (UTP)</t>
  </si>
  <si>
    <t>Licença UTM + FortiCare</t>
  </si>
  <si>
    <t>FY23-005</t>
  </si>
  <si>
    <t>Valor neto sea cero</t>
  </si>
  <si>
    <t>&gt;</t>
  </si>
  <si>
    <t>Mes de fin de amortizacion todavia no se haya cumplido al corte que estemos realizando</t>
  </si>
  <si>
    <t>Otro check a sumar:</t>
  </si>
  <si>
    <t>Intangível em Andamento</t>
  </si>
  <si>
    <t>Imobilizado em Andamento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</si>
</sst>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0" fillId="0" borderId="0" xfId="0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14" fontId="2" fillId="3" borderId="0" xfId="0" applyNumberFormat="1" applyFont="1" applyFill="1"/>
    <xf numFmtId="14" fontId="0" fillId="0" borderId="0" xfId="0" applyNumberFormat="1"/>
    <xf numFmtId="43" fontId="0" fillId="0" borderId="0" xfId="1" applyFont="1"/>
    <xf numFmtId="164" fontId="0" fillId="0" borderId="0" xfId="1" applyNumberFormat="1" applyFont="1"/>
    <xf numFmtId="0" fontId="0" fillId="4" borderId="0" xfId="0" applyFill="1"/>
    <xf numFmtId="0" fontId="0" fillId="0" borderId="0" xfId="0" quotePrefix="1"/>
    <xf numFmtId="2" fontId="0" fillId="0" borderId="0" xfId="0" applyNumberFormat="1"/>
    <xf numFmtId="164" fontId="0" fillId="0" borderId="0" xfId="0" applyNumberFormat="1"/>
    <xf numFmtId="164" fontId="0" fillId="5" borderId="0" xfId="1" applyNumberFormat="1" applyFont="1" applyFill="1"/>
    <xf numFmtId="0" fontId="0" fillId="0" borderId="0" xfId="0" applyAlignment="1">
      <alignment horizontal="right"/>
    </xf>
    <xf numFmtId="0" fontId="0" fillId="5" borderId="0" xfId="0" applyFill="1"/>
    <xf numFmtId="0" fontId="0" fillId="0" borderId="0" xfId="0" applyAlignment="1">
      <alignment vertic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latamlogicalis-my.sharepoint.com/personal/leonardo_bagatolli_la_logicalis_com/Documents/IA%20Leo/IA/Onsites/FY27/Brazil/FA/IA%20analisis/01.%20Detailed%20Fixed%20Asset%20Register%20showing%20dates%20of%20asset%20capitalisation%20-%20V2.xlsx" TargetMode="External"/><Relationship Id="rId2" Type="http://schemas.microsoft.com/office/2019/04/relationships/externalLinkLongPath" Target="https://latamlogicalis-my.sharepoint.com/personal/leonardo_bagatolli_la_logicalis_com/Documents/IA%20Leo/IA/Onsites/FY27/Brazil/FA/IA%20analisis/01.%20Detailed%20Fixed%20Asset%20Register%20showing%20dates%20of%20asset%20capitalisation%20-%20V2.xlsx?10B245F4" TargetMode="External"/><Relationship Id="rId1" Type="http://schemas.openxmlformats.org/officeDocument/2006/relationships/externalLinkPath" Target="file:///\\10B245F4\01.%20Detailed%20Fixed%20Asset%20Register%20showing%20dates%20of%20asset%20capitalisation%20-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Sheet1"/>
      <sheetName val="Sheet2"/>
      <sheetName val="Relatório de Imob. - 07.26"/>
      <sheetName val="Sheet3"/>
    </sheetNames>
    <sheetDataSet>
      <sheetData sheetId="0">
        <row r="4">
          <cell r="A4" t="str">
            <v>Aluguel de equipamentos - IFRS 16</v>
          </cell>
        </row>
        <row r="5">
          <cell r="A5" t="str">
            <v>Aluguel de Imóveis - IFRS 16</v>
          </cell>
        </row>
        <row r="6">
          <cell r="A6" t="str">
            <v>Benfeitorias em Propriedades de Terceiros</v>
          </cell>
        </row>
        <row r="7">
          <cell r="A7" t="str">
            <v>Computadores e relacionados</v>
          </cell>
          <cell r="B7">
            <v>3</v>
          </cell>
        </row>
        <row r="8">
          <cell r="A8" t="str">
            <v>Data Center</v>
          </cell>
          <cell r="B8">
            <v>5</v>
          </cell>
        </row>
        <row r="9">
          <cell r="A9" t="str">
            <v>Imobilizado em Andamento</v>
          </cell>
        </row>
        <row r="10">
          <cell r="A10" t="str">
            <v>Intangível em Andamento</v>
          </cell>
        </row>
        <row r="11">
          <cell r="A11" t="str">
            <v>Laboratório</v>
          </cell>
          <cell r="B11">
            <v>5</v>
          </cell>
        </row>
        <row r="12">
          <cell r="A12" t="str">
            <v>Máquinas e Equipamentos</v>
          </cell>
          <cell r="B12">
            <v>5</v>
          </cell>
        </row>
        <row r="13">
          <cell r="A13" t="str">
            <v>Móveis e Utensílios</v>
          </cell>
          <cell r="B13">
            <v>10</v>
          </cell>
        </row>
        <row r="14">
          <cell r="A14" t="str">
            <v>Software - ERP</v>
          </cell>
          <cell r="B14">
            <v>5</v>
          </cell>
        </row>
        <row r="15">
          <cell r="A15" t="str">
            <v>Software Customizáveis</v>
          </cell>
          <cell r="B15">
            <v>3</v>
          </cell>
        </row>
      </sheetData>
      <sheetData sheetId="1" refreshError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1E289-E9DB-4B5B-B4C9-0603858302EA}">
  <sheetPr>
    <tabColor theme="3" tint="0.249977111117893"/>
  </sheetPr>
  <dimension ref="A1:V3"/>
  <sheetViews>
    <sheetView showGridLines="0" tabSelected="1" topLeftCell="A2" workbookViewId="0">
      <selection activeCell="A2" sqref="A2"/>
    </sheetView>
  </sheetViews>
  <sheetFormatPr baseColWidth="10" defaultColWidth="8.7265625" defaultRowHeight="14.5" x14ac:dyDescent="0.35"/>
  <cols>
    <col min="1" max="1" width="14.54296875" bestFit="1" customWidth="1"/>
    <col min="2" max="2" width="4.6328125" bestFit="1" customWidth="1"/>
    <col min="3" max="3" width="16.36328125" bestFit="1" customWidth="1"/>
    <col min="4" max="4" width="50.54296875" bestFit="1" customWidth="1"/>
    <col min="5" max="5" width="9.90625" bestFit="1" customWidth="1"/>
    <col min="6" max="6" width="12.7265625" bestFit="1" customWidth="1"/>
    <col min="7" max="7" width="14.54296875" bestFit="1" customWidth="1"/>
    <col min="8" max="8" width="16.453125" bestFit="1" customWidth="1"/>
    <col min="9" max="9" width="13.81640625" bestFit="1" customWidth="1"/>
    <col min="10" max="10" width="38.90625" bestFit="1" customWidth="1"/>
    <col min="11" max="11" width="38.90625" customWidth="1"/>
    <col min="12" max="12" width="10.1796875" bestFit="1" customWidth="1"/>
    <col min="13" max="13" width="15" bestFit="1" customWidth="1"/>
    <col min="14" max="14" width="5" bestFit="1" customWidth="1"/>
    <col min="15" max="15" width="10" bestFit="1" customWidth="1"/>
    <col min="16" max="16" width="6.26953125" bestFit="1" customWidth="1"/>
    <col min="18" max="19" width="10.08984375" bestFit="1" customWidth="1"/>
    <col min="20" max="20" width="11.6328125" bestFit="1" customWidth="1"/>
    <col min="21" max="21" width="10.1796875" bestFit="1" customWidth="1"/>
    <col min="22" max="22" width="12.7265625" bestFit="1" customWidth="1"/>
  </cols>
  <sheetData>
    <row r="1" spans="1:22" x14ac:dyDescent="0.35">
      <c r="S1" s="1"/>
    </row>
    <row r="2" spans="1:22" ht="2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4" t="s">
        <v>16</v>
      </c>
      <c r="R2" s="4" t="s">
        <v>17</v>
      </c>
      <c r="S2" s="5">
        <v>46234</v>
      </c>
      <c r="T2" s="4" t="s">
        <v>18</v>
      </c>
      <c r="U2" s="4" t="s">
        <v>19</v>
      </c>
      <c r="V2" s="4" t="s">
        <v>20</v>
      </c>
    </row>
    <row r="3" spans="1:22" x14ac:dyDescent="0.35">
      <c r="A3">
        <v>10000005493</v>
      </c>
      <c r="B3">
        <v>0</v>
      </c>
      <c r="C3" t="s">
        <v>21</v>
      </c>
      <c r="D3" t="s">
        <v>22</v>
      </c>
      <c r="E3" s="6">
        <v>45839</v>
      </c>
      <c r="F3" s="7">
        <v>9141161.3399999999</v>
      </c>
      <c r="G3" s="7">
        <v>-2437643.02</v>
      </c>
      <c r="H3" s="8">
        <v>6703518.3200000003</v>
      </c>
      <c r="I3" t="s">
        <v>23</v>
      </c>
      <c r="J3" s="9" t="s">
        <v>24</v>
      </c>
      <c r="K3" s="9" t="s">
        <v>0</v>
      </c>
      <c r="L3" t="s">
        <v>25</v>
      </c>
      <c r="N3" s="10" t="s">
        <v>26</v>
      </c>
      <c r="O3" s="6">
        <v>45748</v>
      </c>
      <c r="P3" t="s">
        <v>27</v>
      </c>
      <c r="Q3">
        <f>+VLOOKUP(J3,[1]Sheet1!$A$4:$B$15,2,0)</f>
        <v>5</v>
      </c>
      <c r="R3" s="6">
        <f t="shared" ref="R3" si="0">+E3+Q3*365</f>
        <v>47664</v>
      </c>
      <c r="S3" s="11">
        <f>+$S$2-E3</f>
        <v>395</v>
      </c>
      <c r="T3" s="8">
        <f>+ROUND((S3/30),0)</f>
        <v>13</v>
      </c>
      <c r="U3" s="12">
        <f>+F3/(Q3*12)*T3</f>
        <v>1980584.9569999997</v>
      </c>
      <c r="V3" s="13">
        <f>+U3+G3</f>
        <v>-457058.06300000031</v>
      </c>
    </row>
  </sheetData>
  <autoFilter ref="A2:V3" xr:uid="{305FC1C5-A0B4-47ED-AA38-ADFD795AAD4D}"/>
  <pageMargins left="0.511811024" right="0.511811024" top="0.78740157499999996" bottom="0.78740157499999996" header="0.31496062000000002" footer="0.31496062000000002"/>
  <headerFooter>
    <oddFooter>&amp;C_x000D_&amp;1#&amp;"Aptos"&amp;8&amp;KFF0000 Logicalis - Sensitive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BBE42-1CA2-4656-82BB-16C758F717C7}">
  <sheetPr>
    <tabColor theme="3" tint="0.249977111117893"/>
  </sheetPr>
  <dimension ref="A1:S14"/>
  <sheetViews>
    <sheetView showGridLines="0" topLeftCell="H1" workbookViewId="0">
      <selection activeCell="Q3" sqref="Q3"/>
    </sheetView>
  </sheetViews>
  <sheetFormatPr baseColWidth="10" defaultColWidth="8.7265625" defaultRowHeight="14.5" x14ac:dyDescent="0.35"/>
  <cols>
    <col min="1" max="1" width="14.54296875" bestFit="1" customWidth="1"/>
    <col min="2" max="2" width="4.6328125" bestFit="1" customWidth="1"/>
    <col min="3" max="3" width="16.36328125" bestFit="1" customWidth="1"/>
    <col min="4" max="4" width="50.54296875" bestFit="1" customWidth="1"/>
    <col min="5" max="5" width="9.90625" bestFit="1" customWidth="1"/>
    <col min="6" max="6" width="12.7265625" bestFit="1" customWidth="1"/>
    <col min="7" max="7" width="14.54296875" bestFit="1" customWidth="1"/>
    <col min="8" max="8" width="16.453125" bestFit="1" customWidth="1"/>
    <col min="9" max="9" width="13.81640625" bestFit="1" customWidth="1"/>
    <col min="10" max="10" width="38.90625" bestFit="1" customWidth="1"/>
    <col min="11" max="11" width="38.90625" customWidth="1"/>
    <col min="12" max="12" width="10.1796875" bestFit="1" customWidth="1"/>
    <col min="13" max="13" width="15" bestFit="1" customWidth="1"/>
    <col min="14" max="14" width="5" bestFit="1" customWidth="1"/>
    <col min="15" max="15" width="10" bestFit="1" customWidth="1"/>
    <col min="16" max="16" width="6.26953125" bestFit="1" customWidth="1"/>
    <col min="18" max="18" width="14.6328125" customWidth="1"/>
    <col min="19" max="19" width="10.08984375" bestFit="1" customWidth="1"/>
  </cols>
  <sheetData>
    <row r="1" spans="1:19" x14ac:dyDescent="0.35">
      <c r="S1" s="1" t="s">
        <v>28</v>
      </c>
    </row>
    <row r="2" spans="1:19" ht="25" customHeight="1" x14ac:dyDescent="0.3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3" t="s">
        <v>9</v>
      </c>
      <c r="K2" s="3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4" t="s">
        <v>16</v>
      </c>
      <c r="R2" s="4" t="s">
        <v>17</v>
      </c>
      <c r="S2" s="5">
        <v>46234</v>
      </c>
    </row>
    <row r="3" spans="1:19" x14ac:dyDescent="0.35">
      <c r="A3">
        <v>10000002296</v>
      </c>
      <c r="B3">
        <v>0</v>
      </c>
      <c r="C3">
        <v>7360</v>
      </c>
      <c r="D3" t="s">
        <v>29</v>
      </c>
      <c r="E3" s="6">
        <v>39568</v>
      </c>
      <c r="F3" s="7">
        <v>134.19999999999999</v>
      </c>
      <c r="G3" s="7">
        <v>-69.34</v>
      </c>
      <c r="H3" s="8">
        <v>64.86</v>
      </c>
      <c r="I3" t="s">
        <v>30</v>
      </c>
      <c r="J3" s="9" t="s">
        <v>31</v>
      </c>
      <c r="K3" s="9" t="s">
        <v>0</v>
      </c>
      <c r="L3">
        <v>0</v>
      </c>
      <c r="M3" t="s">
        <v>32</v>
      </c>
      <c r="N3" s="10" t="s">
        <v>26</v>
      </c>
      <c r="O3" s="6">
        <v>39569</v>
      </c>
      <c r="P3" t="s">
        <v>27</v>
      </c>
      <c r="Q3">
        <f>+VLOOKUP(J3,[1]Sheet1!$A$4:$B$15,2,0)</f>
        <v>5</v>
      </c>
      <c r="R3" s="6">
        <f t="shared" ref="R3:R10" si="0">+E3+Q3*365</f>
        <v>41393</v>
      </c>
      <c r="S3" t="s">
        <v>33</v>
      </c>
    </row>
    <row r="4" spans="1:19" x14ac:dyDescent="0.35">
      <c r="A4">
        <v>10000002520</v>
      </c>
      <c r="B4">
        <v>0</v>
      </c>
      <c r="C4">
        <v>7365</v>
      </c>
      <c r="D4" t="s">
        <v>34</v>
      </c>
      <c r="E4" s="6">
        <v>39568</v>
      </c>
      <c r="F4" s="7">
        <v>226.01</v>
      </c>
      <c r="G4" s="7">
        <v>-138.62</v>
      </c>
      <c r="H4" s="8">
        <v>87.39</v>
      </c>
      <c r="I4" t="s">
        <v>30</v>
      </c>
      <c r="J4" s="9" t="s">
        <v>31</v>
      </c>
      <c r="K4" s="9" t="s">
        <v>0</v>
      </c>
      <c r="L4">
        <v>0</v>
      </c>
      <c r="M4" t="s">
        <v>32</v>
      </c>
      <c r="N4" s="10" t="s">
        <v>26</v>
      </c>
      <c r="O4" s="6">
        <v>39569</v>
      </c>
      <c r="P4" t="s">
        <v>27</v>
      </c>
      <c r="Q4">
        <f>+VLOOKUP(J4,[1]Sheet1!$A$4:$B$15,2,0)</f>
        <v>5</v>
      </c>
      <c r="R4" s="6">
        <f t="shared" si="0"/>
        <v>41393</v>
      </c>
      <c r="S4" t="s">
        <v>33</v>
      </c>
    </row>
    <row r="5" spans="1:19" x14ac:dyDescent="0.35">
      <c r="A5">
        <v>10000001481</v>
      </c>
      <c r="B5">
        <v>0</v>
      </c>
      <c r="C5" t="s">
        <v>35</v>
      </c>
      <c r="D5" t="s">
        <v>36</v>
      </c>
      <c r="E5" s="6">
        <v>41166</v>
      </c>
      <c r="F5" s="7">
        <v>2594</v>
      </c>
      <c r="G5" s="7">
        <v>-2248.13</v>
      </c>
      <c r="H5" s="8">
        <v>345.87</v>
      </c>
      <c r="I5" t="s">
        <v>23</v>
      </c>
      <c r="J5" s="9" t="s">
        <v>24</v>
      </c>
      <c r="K5" s="9" t="s">
        <v>0</v>
      </c>
      <c r="L5">
        <v>0</v>
      </c>
      <c r="M5" t="s">
        <v>37</v>
      </c>
      <c r="N5" s="10" t="s">
        <v>26</v>
      </c>
      <c r="O5" s="6">
        <v>41153</v>
      </c>
      <c r="P5" t="s">
        <v>27</v>
      </c>
      <c r="Q5">
        <f>+VLOOKUP(J5,[1]Sheet1!$A$4:$B$15,2,0)</f>
        <v>5</v>
      </c>
      <c r="R5" s="6">
        <f t="shared" si="0"/>
        <v>42991</v>
      </c>
      <c r="S5" t="s">
        <v>33</v>
      </c>
    </row>
    <row r="6" spans="1:19" x14ac:dyDescent="0.35">
      <c r="A6">
        <v>10000002492</v>
      </c>
      <c r="B6">
        <v>0</v>
      </c>
      <c r="C6" t="s">
        <v>21</v>
      </c>
      <c r="D6" t="s">
        <v>38</v>
      </c>
      <c r="E6" s="6">
        <v>44369</v>
      </c>
      <c r="F6" s="7">
        <v>2937992.52</v>
      </c>
      <c r="G6" s="7">
        <v>-2917548.06</v>
      </c>
      <c r="H6" s="8">
        <v>20444.46</v>
      </c>
      <c r="I6" t="s">
        <v>23</v>
      </c>
      <c r="J6" s="9" t="s">
        <v>24</v>
      </c>
      <c r="K6" s="9" t="s">
        <v>0</v>
      </c>
      <c r="L6" t="s">
        <v>39</v>
      </c>
      <c r="N6" s="10" t="s">
        <v>40</v>
      </c>
      <c r="O6" s="6">
        <v>44378</v>
      </c>
      <c r="P6" t="s">
        <v>27</v>
      </c>
      <c r="Q6">
        <f>+VLOOKUP(J6,[1]Sheet1!$A$4:$B$15,2,0)</f>
        <v>5</v>
      </c>
      <c r="R6" s="6">
        <f t="shared" si="0"/>
        <v>46194</v>
      </c>
      <c r="S6" t="s">
        <v>33</v>
      </c>
    </row>
    <row r="7" spans="1:19" x14ac:dyDescent="0.35">
      <c r="A7">
        <v>60000000488</v>
      </c>
      <c r="B7">
        <v>0</v>
      </c>
      <c r="C7" t="s">
        <v>21</v>
      </c>
      <c r="D7" t="s">
        <v>41</v>
      </c>
      <c r="E7" s="6">
        <v>44489</v>
      </c>
      <c r="F7" s="7">
        <v>182115.5</v>
      </c>
      <c r="G7" s="7">
        <v>-175532.16</v>
      </c>
      <c r="H7" s="8">
        <v>6583.34</v>
      </c>
      <c r="I7" t="s">
        <v>42</v>
      </c>
      <c r="J7" s="9" t="s">
        <v>43</v>
      </c>
      <c r="K7" s="9" t="s">
        <v>44</v>
      </c>
      <c r="L7" t="s">
        <v>45</v>
      </c>
      <c r="N7" s="10" t="s">
        <v>40</v>
      </c>
      <c r="O7" s="6">
        <v>44501</v>
      </c>
      <c r="P7" t="s">
        <v>27</v>
      </c>
      <c r="Q7">
        <f>+VLOOKUP(J7,[1]Sheet1!$A$4:$B$15,2,0)</f>
        <v>3</v>
      </c>
      <c r="R7" s="6">
        <f t="shared" si="0"/>
        <v>45584</v>
      </c>
      <c r="S7" t="s">
        <v>33</v>
      </c>
    </row>
    <row r="8" spans="1:19" x14ac:dyDescent="0.35">
      <c r="A8">
        <v>60000000489</v>
      </c>
      <c r="B8">
        <v>0</v>
      </c>
      <c r="C8" t="s">
        <v>21</v>
      </c>
      <c r="D8" t="s">
        <v>41</v>
      </c>
      <c r="E8" s="6">
        <v>44489</v>
      </c>
      <c r="F8" s="7">
        <v>57733.39</v>
      </c>
      <c r="G8" s="7">
        <v>-55646.38</v>
      </c>
      <c r="H8" s="8">
        <v>2087.0100000000002</v>
      </c>
      <c r="I8" t="s">
        <v>42</v>
      </c>
      <c r="J8" s="9" t="s">
        <v>43</v>
      </c>
      <c r="K8" s="9" t="s">
        <v>44</v>
      </c>
      <c r="L8" t="s">
        <v>45</v>
      </c>
      <c r="N8" s="10" t="s">
        <v>40</v>
      </c>
      <c r="O8" s="6">
        <v>44501</v>
      </c>
      <c r="P8" t="s">
        <v>27</v>
      </c>
      <c r="Q8">
        <f>+VLOOKUP(J8,[1]Sheet1!$A$4:$B$15,2,0)</f>
        <v>3</v>
      </c>
      <c r="R8" s="6">
        <f t="shared" si="0"/>
        <v>45584</v>
      </c>
      <c r="S8" t="s">
        <v>33</v>
      </c>
    </row>
    <row r="9" spans="1:19" x14ac:dyDescent="0.35">
      <c r="A9">
        <v>60000000490</v>
      </c>
      <c r="B9">
        <v>0</v>
      </c>
      <c r="C9" t="s">
        <v>21</v>
      </c>
      <c r="D9" t="s">
        <v>46</v>
      </c>
      <c r="E9" s="6">
        <v>44489</v>
      </c>
      <c r="F9" s="7">
        <v>59774.879999999997</v>
      </c>
      <c r="G9" s="7">
        <v>-58628.98</v>
      </c>
      <c r="H9" s="8">
        <v>1145.9000000000001</v>
      </c>
      <c r="I9" t="s">
        <v>42</v>
      </c>
      <c r="J9" s="9" t="s">
        <v>43</v>
      </c>
      <c r="K9" s="9" t="s">
        <v>44</v>
      </c>
      <c r="L9" t="s">
        <v>45</v>
      </c>
      <c r="N9" s="10" t="s">
        <v>40</v>
      </c>
      <c r="O9" s="6">
        <v>44501</v>
      </c>
      <c r="P9" t="s">
        <v>27</v>
      </c>
      <c r="Q9">
        <f>+VLOOKUP(J9,[1]Sheet1!$A$4:$B$15,2,0)</f>
        <v>3</v>
      </c>
      <c r="R9" s="6">
        <f t="shared" si="0"/>
        <v>45584</v>
      </c>
      <c r="S9" t="s">
        <v>33</v>
      </c>
    </row>
    <row r="10" spans="1:19" x14ac:dyDescent="0.35">
      <c r="A10">
        <v>60000000627</v>
      </c>
      <c r="B10">
        <v>0</v>
      </c>
      <c r="C10" t="s">
        <v>21</v>
      </c>
      <c r="D10" t="s">
        <v>47</v>
      </c>
      <c r="E10" s="6">
        <v>44958</v>
      </c>
      <c r="F10" s="7">
        <v>36045.08</v>
      </c>
      <c r="G10" s="7">
        <v>-27525.34</v>
      </c>
      <c r="H10" s="8">
        <v>8519.74</v>
      </c>
      <c r="I10" t="s">
        <v>42</v>
      </c>
      <c r="J10" s="9" t="s">
        <v>43</v>
      </c>
      <c r="K10" s="9" t="s">
        <v>44</v>
      </c>
      <c r="L10" t="s">
        <v>48</v>
      </c>
      <c r="N10" s="10" t="s">
        <v>26</v>
      </c>
      <c r="O10" s="6">
        <v>44958</v>
      </c>
      <c r="P10" t="s">
        <v>27</v>
      </c>
      <c r="Q10">
        <f>+VLOOKUP(J10,[1]Sheet1!$A$4:$B$15,2,0)</f>
        <v>3</v>
      </c>
      <c r="R10" s="6">
        <f t="shared" si="0"/>
        <v>46053</v>
      </c>
      <c r="S10" t="s">
        <v>33</v>
      </c>
    </row>
    <row r="12" spans="1:19" x14ac:dyDescent="0.35">
      <c r="Q12" s="15" t="s">
        <v>52</v>
      </c>
      <c r="R12" s="15"/>
    </row>
    <row r="13" spans="1:19" x14ac:dyDescent="0.35">
      <c r="P13" s="14" t="s">
        <v>50</v>
      </c>
      <c r="Q13" t="s">
        <v>49</v>
      </c>
    </row>
    <row r="14" spans="1:19" x14ac:dyDescent="0.35">
      <c r="P14" s="14" t="s">
        <v>50</v>
      </c>
      <c r="Q14" t="s">
        <v>51</v>
      </c>
    </row>
  </sheetData>
  <autoFilter ref="A2:S10" xr:uid="{305FC1C5-A0B4-47ED-AA38-ADFD795AAD4D}"/>
  <pageMargins left="0.511811024" right="0.511811024" top="0.78740157499999996" bottom="0.78740157499999996" header="0.31496062000000002" footer="0.31496062000000002"/>
  <headerFooter>
    <oddFooter>&amp;C_x000D_&amp;1#&amp;"Aptos"&amp;8&amp;KFF0000 Logicalis - Sensitive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3A91-5EF3-4ECB-8649-02DEFA2FF26F}">
  <dimension ref="A2:B3"/>
  <sheetViews>
    <sheetView workbookViewId="0">
      <selection activeCell="A6" sqref="A6"/>
    </sheetView>
  </sheetViews>
  <sheetFormatPr baseColWidth="10" defaultColWidth="8.7265625" defaultRowHeight="14.5" x14ac:dyDescent="0.35"/>
  <cols>
    <col min="1" max="1" width="10.81640625" bestFit="1" customWidth="1"/>
  </cols>
  <sheetData>
    <row r="2" spans="1:2" x14ac:dyDescent="0.35">
      <c r="A2" s="16">
        <v>1203010022</v>
      </c>
      <c r="B2" s="16" t="s">
        <v>53</v>
      </c>
    </row>
    <row r="3" spans="1:2" x14ac:dyDescent="0.35">
      <c r="A3">
        <v>1203010011</v>
      </c>
      <c r="B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Depreciation a)</vt:lpstr>
      <vt:lpstr>Depreciation b)</vt:lpstr>
      <vt:lpstr>A excluir para el 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Bagatolli, Leonardo</dc:creator>
  <cp:lastModifiedBy>Nestor Leonardo Soria</cp:lastModifiedBy>
  <dcterms:created xsi:type="dcterms:W3CDTF">2026-10-14T13:16:37Z</dcterms:created>
  <dcterms:modified xsi:type="dcterms:W3CDTF">2026-10-14T20:24:43Z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2f3638a-c888-4cd8-8efa-dc5c328bc664_Enabled">
    <vt:lpwstr>true</vt:lpwstr>
  </property>
  <property fmtid="{D5CDD505-2E9C-101B-9397-08002B2CF9AE}" pid="3" name="MSIP_Label_c2f3638a-c888-4cd8-8efa-dc5c328bc664_SetDate">
    <vt:lpwstr>2026-10-14T13:16:59Z</vt:lpwstr>
  </property>
  <property fmtid="{D5CDD505-2E9C-101B-9397-08002B2CF9AE}" pid="4" name="MSIP_Label_c2f3638a-c888-4cd8-8efa-dc5c328bc664_Method">
    <vt:lpwstr>Standard</vt:lpwstr>
  </property>
  <property fmtid="{D5CDD505-2E9C-101B-9397-08002B2CF9AE}" pid="5" name="MSIP_Label_c2f3638a-c888-4cd8-8efa-dc5c328bc664_Name">
    <vt:lpwstr>Sensitive - Level 1</vt:lpwstr>
  </property>
  <property fmtid="{D5CDD505-2E9C-101B-9397-08002B2CF9AE}" pid="6" name="MSIP_Label_c2f3638a-c888-4cd8-8efa-dc5c328bc664_SiteId">
    <vt:lpwstr>2e3290cb-8d40-4058-abe5-02c4f58b87e3</vt:lpwstr>
  </property>
  <property fmtid="{D5CDD505-2E9C-101B-9397-08002B2CF9AE}" pid="7" name="MSIP_Label_c2f3638a-c888-4cd8-8efa-dc5c328bc664_ActionId">
    <vt:lpwstr>3dd07413-e883-4ff1-8de4-ad0b0c555dfe</vt:lpwstr>
  </property>
  <property fmtid="{D5CDD505-2E9C-101B-9397-08002B2CF9AE}" pid="8" name="MSIP_Label_c2f3638a-c888-4cd8-8efa-dc5c328bc664_ContentBits">
    <vt:lpwstr>2</vt:lpwstr>
  </property>
  <property fmtid="{D5CDD505-2E9C-101B-9397-08002B2CF9AE}" pid="9" name="MSIP_Label_c2f3638a-c888-4cd8-8efa-dc5c328bc664_Tag">
    <vt:lpwstr>10, 3, 0, 1</vt:lpwstr>
  </property>
</Properties>
</file>